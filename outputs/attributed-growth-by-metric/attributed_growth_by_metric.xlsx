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buted Metric Growth" sheetId="1" r:id="rId1"/>
  </sheets>
  <definedNames>
    <definedName name="_xlnm.Print_Area" localSheetId="0">'Attributed Metric Growth'!$A$1:$N$32</definedName>
  </definedNames>
  <calcPr calcId="124519" fullCalcOnLoad="1"/>
</workbook>
</file>

<file path=xl/sharedStrings.xml><?xml version="1.0" encoding="utf-8"?>
<sst xmlns="http://schemas.openxmlformats.org/spreadsheetml/2006/main" count="34" uniqueCount="23">
  <si>
    <t>1. Attributed Growth by Metric</t>
  </si>
  <si>
    <t>■ Net Interest Income</t>
  </si>
  <si>
    <t>■ Non-Interest Income</t>
  </si>
  <si>
    <t>Attributed Growth/Contribution</t>
  </si>
  <si>
    <t>Bank</t>
  </si>
  <si>
    <t>Absolute Growth ($BN)</t>
  </si>
  <si>
    <t>Reported YoY Growth</t>
  </si>
  <si>
    <t>Net Interest Income</t>
  </si>
  <si>
    <t>Non-Interest Income</t>
  </si>
  <si>
    <t>RBC</t>
  </si>
  <si>
    <t>BMO</t>
  </si>
  <si>
    <t>Scotia</t>
  </si>
  <si>
    <t>CIBC</t>
  </si>
  <si>
    <t>National Bank</t>
  </si>
  <si>
    <t>TD</t>
  </si>
  <si>
    <t>Net Interest Income Chart Value</t>
  </si>
  <si>
    <t>Non-Interest Income Chart Value</t>
  </si>
  <si>
    <t>Net Interest Income Label X</t>
  </si>
  <si>
    <t>Net Interest Income Label Y</t>
  </si>
  <si>
    <t>Net Interest Income Label</t>
  </si>
  <si>
    <t>Non-Interest Income Label X</t>
  </si>
  <si>
    <t>Non-Interest Income Label Y</t>
  </si>
  <si>
    <t>Non-Interest Income Label</t>
  </si>
</sst>
</file>

<file path=xl/styles.xml><?xml version="1.0" encoding="utf-8"?>
<styleSheet xmlns="http://schemas.openxmlformats.org/spreadsheetml/2006/main">
  <numFmts count="3">
    <numFmt numFmtId="164" formatCode="+0.0&quot;BN&quot;;-0.0&quot;BN&quot;;0.0&quot;BN&quot;"/>
    <numFmt numFmtId="165" formatCode="0%"/>
    <numFmt numFmtId="166" formatCode="0&quot;%&quot;"/>
  </numFmts>
  <fonts count="9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4"/>
      <color rgb="FF001A52"/>
      <name val="Calibri"/>
      <family val="2"/>
      <scheme val="minor"/>
    </font>
    <font>
      <sz val="14"/>
      <color rgb="FF6E7474"/>
      <name val="Calibri"/>
      <family val="2"/>
      <scheme val="minor"/>
    </font>
    <font>
      <b/>
      <sz val="15"/>
      <color rgb="FF111827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1734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0D678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6" fillId="4" borderId="0" xfId="0" applyFont="1" applyFill="1"/>
    <xf numFmtId="165" fontId="7" fillId="0" borderId="0" xfId="0" applyNumberFormat="1" applyFont="1" applyAlignment="1">
      <alignment horizontal="center"/>
    </xf>
    <xf numFmtId="0" fontId="8" fillId="0" borderId="0" xfId="0" applyFont="1"/>
    <xf numFmtId="164" fontId="8" fillId="0" borderId="0" xfId="0" applyNumberFormat="1" applyFont="1"/>
    <xf numFmtId="166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061350000000000002"/>
          <c:y val="0.070000000000000007"/>
          <c:w val="0.88339999999999996"/>
          <c:h val="0.92000000000000004"/>
        </c:manualLayout>
      </c:layout>
      <c:barChart>
        <c:barDir val="col"/>
        <c:grouping val="stacked"/>
        <c:ser>
          <c:idx val="0"/>
          <c:order val="0"/>
          <c:tx>
            <c:strRef>
              <c:f>'Attributed Metric Growth'!$S$4</c:f>
              <c:strCache>
                <c:ptCount val="1"/>
                <c:pt idx="0">
                  <c:v>Net Interest Income</c:v>
                </c:pt>
              </c:strCache>
            </c:strRef>
          </c:tx>
          <c:spPr>
            <a:solidFill>
              <a:srgbClr val="001A52"/>
            </a:solidFill>
            <a:ln>
              <a:solidFill>
                <a:srgbClr val="001A52"/>
              </a:solidFill>
            </a:ln>
          </c:spP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5%</a:t>
                    </a:r>
                  </a:p>
                </c:rich>
              </c:tx>
              <c:dLblPos val="ctr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3%</a:t>
                    </a:r>
                  </a:p>
                </c:rich>
              </c:tx>
              <c:dLblPos val="ctr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4%</a:t>
                    </a:r>
                  </a:p>
                </c:rich>
              </c:tx>
              <c:dLblPos val="ctr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6%</a:t>
                    </a:r>
                  </a:p>
                </c:rich>
              </c:tx>
              <c:dLblPos val="ctr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9%</a:t>
                    </a:r>
                  </a:p>
                </c:rich>
              </c:tx>
              <c:dLblPos val="ctr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6%</a:t>
                    </a:r>
                  </a:p>
                </c:rich>
              </c:tx>
              <c:dLblPos val="ctr"/>
            </c:dLbl>
            <c:dLblPos val="ctr"/>
          </c:dLbls>
          <c:cat>
            <c:strRef>
              <c:f>'Attributed Metric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Metric Growth'!$V$5:$V$10</c:f>
              <c:numCache>
                <c:formatCode>General</c:formatCode>
                <c:ptCount val="6"/>
                <c:pt idx="0">
                  <c:v>5.0</c:v>
                </c:pt>
                <c:pt idx="1">
                  <c:v>3.0</c:v>
                </c:pt>
                <c:pt idx="2">
                  <c:v>4.0</c:v>
                </c:pt>
                <c:pt idx="3">
                  <c:v>6.0</c:v>
                </c:pt>
                <c:pt idx="4">
                  <c:v>9.0</c:v>
                </c:pt>
                <c:pt idx="5">
                  <c:v>6.0</c:v>
                </c:pt>
              </c:numCache>
            </c:numRef>
          </c:val>
        </c:ser>
        <c:ser>
          <c:idx val="1"/>
          <c:order val="1"/>
          <c:tx>
            <c:strRef>
              <c:f>'Attributed Metric Growth'!$T$4</c:f>
              <c:strCache>
                <c:ptCount val="1"/>
                <c:pt idx="0">
                  <c:v>Non-Interest Income</c:v>
                </c:pt>
              </c:strCache>
            </c:strRef>
          </c:tx>
          <c:spPr>
            <a:solidFill>
              <a:srgbClr val="6E7474"/>
            </a:solidFill>
            <a:ln>
              <a:solidFill>
                <a:srgbClr val="6E7474"/>
              </a:solidFill>
            </a:ln>
          </c:spP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7%</a:t>
                    </a:r>
                  </a:p>
                </c:rich>
              </c:tx>
              <c:dLblPos val="ctr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6%</a:t>
                    </a:r>
                  </a:p>
                </c:rich>
              </c:tx>
              <c:dLblPos val="ctr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7%</a:t>
                    </a:r>
                  </a:p>
                </c:rich>
              </c:tx>
              <c:dLblPos val="ctr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8%</a:t>
                    </a:r>
                  </a:p>
                </c:rich>
              </c:tx>
              <c:dLblPos val="ctr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6%</a:t>
                    </a:r>
                  </a:p>
                </c:rich>
              </c:tx>
              <c:dLblPos val="ctr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 sz="1200" b="1" baseline="0">
                        <a:solidFill>
                          <a:srgbClr val="FFFFFF"/>
                        </a:solidFill>
                      </a:rPr>
                      <a:t>6%</a:t>
                    </a:r>
                  </a:p>
                </c:rich>
              </c:tx>
              <c:dLblPos val="ctr"/>
            </c:dLbl>
            <c:dLblPos val="ctr"/>
          </c:dLbls>
          <c:cat>
            <c:strRef>
              <c:f>'Attributed Metric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Metric Growth'!$W$5:$W$10</c:f>
              <c:numCache>
                <c:formatCode>General</c:formatCode>
                <c:ptCount val="6"/>
                <c:pt idx="0">
                  <c:v>7.0</c:v>
                </c:pt>
                <c:pt idx="1">
                  <c:v>6.0</c:v>
                </c:pt>
                <c:pt idx="2">
                  <c:v>7.0</c:v>
                </c:pt>
                <c:pt idx="3">
                  <c:v>8.0</c:v>
                </c:pt>
                <c:pt idx="4">
                  <c:v>6.0</c:v>
                </c:pt>
                <c:pt idx="5">
                  <c:v>6.0</c:v>
                </c:pt>
              </c:numCache>
            </c:numRef>
          </c:val>
        </c:ser>
        <c:gapWidth val="7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 w="15875">
            <a:solidFill>
              <a:srgbClr val="8C8C8C"/>
            </a:solidFill>
          </a:ln>
        </c:spPr>
        <c:txPr>
          <a:bodyPr/>
          <a:lstStyle/>
          <a:p>
            <a:pPr>
              <a:defRPr sz="100" baseline="0">
                <a:solidFill>
                  <a:srgbClr val="FFFFF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.450000000000001"/>
          <c:min val="0"/>
        </c:scaling>
        <c:delete val="1"/>
        <c:axPos val="l"/>
        <c:numFmt formatCode="General" sourceLinked="1"/>
        <c:tickLblPos val="nextTo"/>
        <c:spPr>
          <a:ln>
            <a:noFill/>
          </a:ln>
        </c:spPr>
        <c:crossAx val="50010001"/>
        <c:crosses val="autoZero"/>
        <c:crossBetween val="between"/>
        <c:majorUnit val="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29</xdr:row>
      <xdr:rowOff>19050</xdr:rowOff>
    </xdr:from>
    <xdr:to>
      <xdr:col>3</xdr:col>
      <xdr:colOff>123825</xdr:colOff>
      <xdr:row>31</xdr:row>
      <xdr:rowOff>19050</xdr:rowOff>
    </xdr:to>
    <xdr:pic>
      <xdr:nvPicPr>
        <xdr:cNvPr id="2" name="Picture 1" descr="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5638800"/>
          <a:ext cx="1047750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29</xdr:row>
      <xdr:rowOff>19050</xdr:rowOff>
    </xdr:from>
    <xdr:to>
      <xdr:col>5</xdr:col>
      <xdr:colOff>142875</xdr:colOff>
      <xdr:row>31</xdr:row>
      <xdr:rowOff>19050</xdr:rowOff>
    </xdr:to>
    <xdr:pic>
      <xdr:nvPicPr>
        <xdr:cNvPr id="3" name="Picture 2" descr="bm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00" y="5638800"/>
          <a:ext cx="1095375" cy="3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29</xdr:row>
      <xdr:rowOff>95250</xdr:rowOff>
    </xdr:from>
    <xdr:to>
      <xdr:col>7</xdr:col>
      <xdr:colOff>200025</xdr:colOff>
      <xdr:row>30</xdr:row>
      <xdr:rowOff>123825</xdr:rowOff>
    </xdr:to>
    <xdr:pic>
      <xdr:nvPicPr>
        <xdr:cNvPr id="4" name="Picture 3" descr="bn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7175" y="5715000"/>
          <a:ext cx="120015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29</xdr:row>
      <xdr:rowOff>57150</xdr:rowOff>
    </xdr:from>
    <xdr:to>
      <xdr:col>9</xdr:col>
      <xdr:colOff>200025</xdr:colOff>
      <xdr:row>30</xdr:row>
      <xdr:rowOff>171450</xdr:rowOff>
    </xdr:to>
    <xdr:pic>
      <xdr:nvPicPr>
        <xdr:cNvPr id="5" name="Picture 4" descr="cm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67375" y="5676900"/>
          <a:ext cx="1200150" cy="30480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29</xdr:row>
      <xdr:rowOff>38100</xdr:rowOff>
    </xdr:from>
    <xdr:to>
      <xdr:col>11</xdr:col>
      <xdr:colOff>200025</xdr:colOff>
      <xdr:row>30</xdr:row>
      <xdr:rowOff>180975</xdr:rowOff>
    </xdr:to>
    <xdr:pic>
      <xdr:nvPicPr>
        <xdr:cNvPr id="6" name="Picture 5" descr="na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67575" y="5657850"/>
          <a:ext cx="1200150" cy="33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600075</xdr:colOff>
      <xdr:row>29</xdr:row>
      <xdr:rowOff>28575</xdr:rowOff>
    </xdr:from>
    <xdr:to>
      <xdr:col>13</xdr:col>
      <xdr:colOff>200025</xdr:colOff>
      <xdr:row>31</xdr:row>
      <xdr:rowOff>9525</xdr:rowOff>
    </xdr:to>
    <xdr:pic>
      <xdr:nvPicPr>
        <xdr:cNvPr id="7" name="Picture 6" descr="t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7775" y="5648325"/>
          <a:ext cx="1200150" cy="3619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15</xdr:col>
      <xdr:colOff>0</xdr:colOff>
      <xdr:row>28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561975</xdr:colOff>
      <xdr:row>2</xdr:row>
      <xdr:rowOff>0</xdr:rowOff>
    </xdr:from>
    <xdr:to>
      <xdr:col>3</xdr:col>
      <xdr:colOff>238125</xdr:colOff>
      <xdr:row>31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828675" y="571500"/>
          <a:ext cx="1276350" cy="5429250"/>
        </a:xfrm>
        <a:prstGeom prst="rect">
          <a:avLst/>
        </a:prstGeom>
        <a:noFill/>
        <a:ln w="15875" cmpd="sng">
          <a:solidFill>
            <a:srgbClr val="4F566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AttributedGrowthByMetricSource" displayName="AttributedGrowthByMetricSource" ref="P4:T10" totalsRowShown="0">
  <autoFilter ref="P4:T10"/>
  <tableColumns count="5">
    <tableColumn id="1" name="Bank"/>
    <tableColumn id="2" name="Absolute Growth ($BN)"/>
    <tableColumn id="3" name="Reported YoY Growth"/>
    <tableColumn id="4" name="Net Interest Income"/>
    <tableColumn id="5" name="Non-Interest In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32"/>
  <sheetViews>
    <sheetView showGridLines="0" tabSelected="1" workbookViewId="0"/>
  </sheetViews>
  <sheetFormatPr defaultRowHeight="15"/>
  <cols>
    <col min="1" max="1" width="4" customWidth="1"/>
    <col min="2" max="14" width="12" customWidth="1"/>
    <col min="15" max="15" width="3" customWidth="1"/>
    <col min="16" max="16" width="15" customWidth="1"/>
    <col min="17" max="17" width="16.85546875" customWidth="1"/>
    <col min="18" max="18" width="15" customWidth="1"/>
    <col min="19" max="21" width="10" customWidth="1"/>
    <col min="22" max="23" width="0" hidden="1" customWidth="1"/>
    <col min="24" max="25" width="12.140625" customWidth="1"/>
    <col min="26" max="31" width="0" hidden="1" customWidth="1"/>
  </cols>
  <sheetData>
    <row r="1" spans="1:31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1" ht="18" customHeight="1">
      <c r="B2" s="2" t="s">
        <v>1</v>
      </c>
      <c r="C2" s="2"/>
      <c r="D2" s="2"/>
      <c r="E2" s="3" t="s">
        <v>2</v>
      </c>
      <c r="F2" s="3"/>
      <c r="G2" s="3"/>
      <c r="K2" s="4" t="s">
        <v>3</v>
      </c>
      <c r="L2" s="4"/>
      <c r="M2" s="4"/>
      <c r="N2" s="4"/>
    </row>
    <row r="3" spans="1:31" ht="7.5" customHeight="1"/>
    <row r="4" spans="1:31">
      <c r="C4" s="5">
        <f>IF(Q5="","",Q5)</f>
        <v>7.4</v>
      </c>
      <c r="E4" s="5">
        <f>IF(Q6="","",Q6)</f>
        <v>3.0</v>
      </c>
      <c r="G4" s="5">
        <f>IF(Q7="","",Q7)</f>
        <v>3.7</v>
      </c>
      <c r="I4" s="5">
        <f>IF(Q8="","",Q8)</f>
        <v>3.6</v>
      </c>
      <c r="K4" s="5">
        <f>IF(Q9="","",Q9)</f>
        <v>1.7</v>
      </c>
      <c r="M4" s="5">
        <f>IF(Q10="","",Q10)</f>
        <v>5.9</v>
      </c>
      <c r="P4" s="6" t="s">
        <v>4</v>
      </c>
      <c r="Q4" s="6" t="s">
        <v>5</v>
      </c>
      <c r="R4" s="6" t="s">
        <v>6</v>
      </c>
      <c r="S4" s="6" t="s">
        <v>7</v>
      </c>
      <c r="T4" s="6" t="s">
        <v>8</v>
      </c>
      <c r="V4" t="s">
        <v>15</v>
      </c>
      <c r="W4" t="s">
        <v>16</v>
      </c>
      <c r="Z4" t="s">
        <v>17</v>
      </c>
      <c r="AA4" t="s">
        <v>18</v>
      </c>
      <c r="AB4" t="s">
        <v>19</v>
      </c>
      <c r="AC4" t="s">
        <v>20</v>
      </c>
      <c r="AD4" t="s">
        <v>21</v>
      </c>
      <c r="AE4" t="s">
        <v>22</v>
      </c>
    </row>
    <row r="5" spans="1:31">
      <c r="C5" s="7">
        <f>IF(R5="","",R5/100)</f>
        <v>0.12</v>
      </c>
      <c r="E5" s="7">
        <f>IF(R6="","",R6/100)</f>
        <v>0.09</v>
      </c>
      <c r="G5" s="7">
        <f>IF(R7="","",R7/100)</f>
        <v>0.11</v>
      </c>
      <c r="I5" s="7">
        <f>IF(R8="","",R8/100)</f>
        <v>0.13</v>
      </c>
      <c r="K5" s="7">
        <f>IF(R9="","",R9/100)</f>
        <v>0.15</v>
      </c>
      <c r="M5" s="7">
        <f>IF(R10="","",R10/100)</f>
        <v>0.12</v>
      </c>
      <c r="P5" s="8" t="s">
        <v>9</v>
      </c>
      <c r="Q5" s="9">
        <v>7.4</v>
      </c>
      <c r="R5" s="10">
        <v>12</v>
      </c>
      <c r="S5" s="10">
        <v>5</v>
      </c>
      <c r="T5" s="10">
        <v>7</v>
      </c>
      <c r="V5">
        <f>IF(S5="",NA(),IF(S5=0,0.1,S5))</f>
        <v>5.0</v>
      </c>
      <c r="W5">
        <f>IF(T5="",NA(),IF(T5=0,0.1,T5))</f>
        <v>7.0</v>
      </c>
      <c r="Z5">
        <f>IF(S5="",NA(),1+IF(AND(ABS(S5)&lt;=1,S5&gt;=0),-0.1,0))</f>
        <v>1</v>
      </c>
      <c r="AA5">
        <f>IF(S5="",NA(),IF(V5&gt;=0,0+V5/2,0+V5/2))</f>
        <v>2.5</v>
      </c>
      <c r="AB5" t="str">
        <f>IF(S5="","",ROUND(S5,0)&amp;"%")</f>
        <v>5%</v>
      </c>
      <c r="AC5">
        <f>IF(T5="",NA(),1+IF(AND(ABS(T5)&lt;=1,T5&gt;=0),0.1,0))</f>
        <v>1</v>
      </c>
      <c r="AD5">
        <f>IF(T5="",NA(),IF(W5&gt;=0,SUMIF(V5:V5,"&gt;0",V5:V5)+W5/2,SUMIF(V5:V5,"&lt;0",V5:V5)+W5/2))</f>
        <v>8.5</v>
      </c>
      <c r="AE5" t="str">
        <f>IF(T5="","",ROUND(T5,0)&amp;"%")</f>
        <v>7%</v>
      </c>
    </row>
    <row r="6" spans="1:31">
      <c r="P6" s="8" t="s">
        <v>10</v>
      </c>
      <c r="Q6" s="9">
        <v>3</v>
      </c>
      <c r="R6" s="10">
        <v>9</v>
      </c>
      <c r="S6" s="10">
        <v>3</v>
      </c>
      <c r="T6" s="10">
        <v>6</v>
      </c>
      <c r="V6">
        <f>IF(S6="",NA(),IF(S6=0,0.1,S6))</f>
        <v>3.0</v>
      </c>
      <c r="W6">
        <f>IF(T6="",NA(),IF(T6=0,0.1,T6))</f>
        <v>6.0</v>
      </c>
      <c r="Z6">
        <f>IF(S6="",NA(),2+IF(AND(ABS(S6)&lt;=1,S6&gt;=0),-0.1,0))</f>
        <v>2</v>
      </c>
      <c r="AA6">
        <f>IF(S6="",NA(),IF(V6&gt;=0,0+V6/2,0+V6/2))</f>
        <v>1.5</v>
      </c>
      <c r="AB6" t="str">
        <f>IF(S6="","",ROUND(S6,0)&amp;"%")</f>
        <v>3%</v>
      </c>
      <c r="AC6">
        <f>IF(T6="",NA(),2+IF(AND(ABS(T6)&lt;=1,T6&gt;=0),0.1,0))</f>
        <v>2</v>
      </c>
      <c r="AD6">
        <f>IF(T6="",NA(),IF(W6&gt;=0,SUMIF(V6:V6,"&gt;0",V6:V6)+W6/2,SUMIF(V6:V6,"&lt;0",V6:V6)+W6/2))</f>
        <v>6.0</v>
      </c>
      <c r="AE6" t="str">
        <f>IF(T6="","",ROUND(T6,0)&amp;"%")</f>
        <v>6%</v>
      </c>
    </row>
    <row r="7" spans="1:31">
      <c r="P7" s="8" t="s">
        <v>11</v>
      </c>
      <c r="Q7" s="9">
        <v>3.7</v>
      </c>
      <c r="R7" s="10">
        <v>11</v>
      </c>
      <c r="S7" s="10">
        <v>4</v>
      </c>
      <c r="T7" s="10">
        <v>7</v>
      </c>
      <c r="V7">
        <f>IF(S7="",NA(),IF(S7=0,0.1,S7))</f>
        <v>4.0</v>
      </c>
      <c r="W7">
        <f>IF(T7="",NA(),IF(T7=0,0.1,T7))</f>
        <v>7.0</v>
      </c>
      <c r="Z7">
        <f>IF(S7="",NA(),3+IF(AND(ABS(S7)&lt;=1,S7&gt;=0),-0.1,0))</f>
        <v>3</v>
      </c>
      <c r="AA7">
        <f>IF(S7="",NA(),IF(V7&gt;=0,0+V7/2,0+V7/2))</f>
        <v>2.0</v>
      </c>
      <c r="AB7" t="str">
        <f>IF(S7="","",ROUND(S7,0)&amp;"%")</f>
        <v>4%</v>
      </c>
      <c r="AC7">
        <f>IF(T7="",NA(),3+IF(AND(ABS(T7)&lt;=1,T7&gt;=0),0.1,0))</f>
        <v>3</v>
      </c>
      <c r="AD7">
        <f>IF(T7="",NA(),IF(W7&gt;=0,SUMIF(V7:V7,"&gt;0",V7:V7)+W7/2,SUMIF(V7:V7,"&lt;0",V7:V7)+W7/2))</f>
        <v>7.5</v>
      </c>
      <c r="AE7" t="str">
        <f>IF(T7="","",ROUND(T7,0)&amp;"%")</f>
        <v>7%</v>
      </c>
    </row>
    <row r="8" spans="1:31">
      <c r="P8" s="8" t="s">
        <v>12</v>
      </c>
      <c r="Q8" s="9">
        <v>3.6</v>
      </c>
      <c r="R8" s="10">
        <v>13</v>
      </c>
      <c r="S8" s="10">
        <v>6</v>
      </c>
      <c r="T8" s="10">
        <v>8</v>
      </c>
      <c r="V8">
        <f>IF(S8="",NA(),IF(S8=0,0.1,S8))</f>
        <v>6.0</v>
      </c>
      <c r="W8">
        <f>IF(T8="",NA(),IF(T8=0,0.1,T8))</f>
        <v>8.0</v>
      </c>
      <c r="Z8">
        <f>IF(S8="",NA(),4+IF(AND(ABS(S8)&lt;=1,S8&gt;=0),-0.1,0))</f>
        <v>4</v>
      </c>
      <c r="AA8">
        <f>IF(S8="",NA(),IF(V8&gt;=0,0+V8/2,0+V8/2))</f>
        <v>3.0</v>
      </c>
      <c r="AB8" t="str">
        <f>IF(S8="","",ROUND(S8,0)&amp;"%")</f>
        <v>6%</v>
      </c>
      <c r="AC8">
        <f>IF(T8="",NA(),4+IF(AND(ABS(T8)&lt;=1,T8&gt;=0),0.1,0))</f>
        <v>4</v>
      </c>
      <c r="AD8">
        <f>IF(T8="",NA(),IF(W8&gt;=0,SUMIF(V8:V8,"&gt;0",V8:V8)+W8/2,SUMIF(V8:V8,"&lt;0",V8:V8)+W8/2))</f>
        <v>10.0</v>
      </c>
      <c r="AE8" t="str">
        <f>IF(T8="","",ROUND(T8,0)&amp;"%")</f>
        <v>8%</v>
      </c>
    </row>
    <row r="9" spans="1:31">
      <c r="P9" s="8" t="s">
        <v>13</v>
      </c>
      <c r="Q9" s="9">
        <v>1.7</v>
      </c>
      <c r="R9" s="10">
        <v>15</v>
      </c>
      <c r="S9" s="10">
        <v>9</v>
      </c>
      <c r="T9" s="10">
        <v>6</v>
      </c>
      <c r="V9">
        <f>IF(S9="",NA(),IF(S9=0,0.1,S9))</f>
        <v>9.0</v>
      </c>
      <c r="W9">
        <f>IF(T9="",NA(),IF(T9=0,0.1,T9))</f>
        <v>6.0</v>
      </c>
      <c r="Z9">
        <f>IF(S9="",NA(),5+IF(AND(ABS(S9)&lt;=1,S9&gt;=0),-0.1,0))</f>
        <v>5</v>
      </c>
      <c r="AA9">
        <f>IF(S9="",NA(),IF(V9&gt;=0,0+V9/2,0+V9/2))</f>
        <v>4.5</v>
      </c>
      <c r="AB9" t="str">
        <f>IF(S9="","",ROUND(S9,0)&amp;"%")</f>
        <v>9%</v>
      </c>
      <c r="AC9">
        <f>IF(T9="",NA(),5+IF(AND(ABS(T9)&lt;=1,T9&gt;=0),0.1,0))</f>
        <v>5</v>
      </c>
      <c r="AD9">
        <f>IF(T9="",NA(),IF(W9&gt;=0,SUMIF(V9:V9,"&gt;0",V9:V9)+W9/2,SUMIF(V9:V9,"&lt;0",V9:V9)+W9/2))</f>
        <v>12.0</v>
      </c>
      <c r="AE9" t="str">
        <f>IF(T9="","",ROUND(T9,0)&amp;"%")</f>
        <v>6%</v>
      </c>
    </row>
    <row r="10" spans="1:31">
      <c r="P10" s="8" t="s">
        <v>14</v>
      </c>
      <c r="Q10" s="9">
        <v>5.9</v>
      </c>
      <c r="R10" s="10">
        <v>12</v>
      </c>
      <c r="S10" s="10">
        <v>6</v>
      </c>
      <c r="T10" s="10">
        <v>6</v>
      </c>
      <c r="V10">
        <f>IF(S10="",NA(),IF(S10=0,0.1,S10))</f>
        <v>6.0</v>
      </c>
      <c r="W10">
        <f>IF(T10="",NA(),IF(T10=0,0.1,T10))</f>
        <v>6.0</v>
      </c>
      <c r="Z10">
        <f>IF(S10="",NA(),6+IF(AND(ABS(S10)&lt;=1,S10&gt;=0),-0.1,0))</f>
        <v>6</v>
      </c>
      <c r="AA10">
        <f>IF(S10="",NA(),IF(V10&gt;=0,0+V10/2,0+V10/2))</f>
        <v>3.0</v>
      </c>
      <c r="AB10" t="str">
        <f>IF(S10="","",ROUND(S10,0)&amp;"%")</f>
        <v>6%</v>
      </c>
      <c r="AC10">
        <f>IF(T10="",NA(),6+IF(AND(ABS(T10)&lt;=1,T10&gt;=0),0.1,0))</f>
        <v>6</v>
      </c>
      <c r="AD10">
        <f>IF(T10="",NA(),IF(W10&gt;=0,SUMIF(V10:V10,"&gt;0",V10:V10)+W10/2,SUMIF(V10:V10,"&lt;0",V10:V10)+W10/2))</f>
        <v>9.0</v>
      </c>
      <c r="AE10" t="str">
        <f>IF(T10="","",ROUND(T10,0)&amp;"%")</f>
        <v>6%</v>
      </c>
    </row>
    <row r="11" spans="1:31"/>
    <row r="12" spans="1:31"/>
    <row r="13" spans="1:31"/>
    <row r="14" spans="1:31"/>
    <row r="15" spans="1:31"/>
    <row r="16" spans="1:31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4">
    <mergeCell ref="A1:Y1"/>
    <mergeCell ref="B2:D2"/>
    <mergeCell ref="E2:G2"/>
    <mergeCell ref="K2:N2"/>
  </mergeCells>
  <printOptions horizontalCentered="1"/>
  <pageMargins left="0.3" right="0.3" top="0.3" bottom="0.3" header="0.3" footer="0.3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Attributed Metric Growth</vt:lpstr>
      <vt:lpstr>'Attributed Metric Growth'!Print_Area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2026-05-08T18:03:25Z</dcterms:created>
  <dcterms:modified xsi:type="dcterms:W3CDTF">2026-05-08T18:03:25Z</dcterms:modified>
</cp:coreProperties>
</file>