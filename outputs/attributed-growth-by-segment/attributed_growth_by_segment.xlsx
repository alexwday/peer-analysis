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Growth" sheetId="1" r:id="rId1"/>
  </sheets>
  <definedNames>
    <definedName name="_xlnm.Print_Area" localSheetId="0">'Attributed Growth'!$A$1:$N$32</definedName>
  </definedNames>
  <calcPr calcId="124519" fullCalcOnLoad="1"/>
</workbook>
</file>

<file path=xl/sharedStrings.xml><?xml version="1.0" encoding="utf-8"?>
<sst xmlns="http://schemas.openxmlformats.org/spreadsheetml/2006/main" count="55" uniqueCount="41">
  <si>
    <t>1. Attributed Growth by Segment</t>
  </si>
  <si>
    <t>■ CB</t>
  </si>
  <si>
    <t>■ IB</t>
  </si>
  <si>
    <t>■ CM</t>
  </si>
  <si>
    <t>■ WM</t>
  </si>
  <si>
    <t>■ CS + Ins.</t>
  </si>
  <si>
    <t>Attributed Growth/Contribution</t>
  </si>
  <si>
    <t>Bank</t>
  </si>
  <si>
    <t>Absolute Growth ($BN)</t>
  </si>
  <si>
    <t>Reported YoY Growth</t>
  </si>
  <si>
    <t>CB</t>
  </si>
  <si>
    <t>IB</t>
  </si>
  <si>
    <t>CM</t>
  </si>
  <si>
    <t>WM</t>
  </si>
  <si>
    <t>CS + Ins.</t>
  </si>
  <si>
    <t>RBC</t>
  </si>
  <si>
    <t>BMO</t>
  </si>
  <si>
    <t>Scotia</t>
  </si>
  <si>
    <t>CIBC</t>
  </si>
  <si>
    <t>National Bank</t>
  </si>
  <si>
    <t>TD</t>
  </si>
  <si>
    <t>CB Chart Value</t>
  </si>
  <si>
    <t>IB Chart Value</t>
  </si>
  <si>
    <t>CM Chart Value</t>
  </si>
  <si>
    <t>WM Chart Value</t>
  </si>
  <si>
    <t>CS + Ins. Chart Value</t>
  </si>
  <si>
    <t>CB Label X</t>
  </si>
  <si>
    <t>CB Label Y</t>
  </si>
  <si>
    <t>CB Label</t>
  </si>
  <si>
    <t>IB Label X</t>
  </si>
  <si>
    <t>IB Label Y</t>
  </si>
  <si>
    <t>IB Label</t>
  </si>
  <si>
    <t>CM Label X</t>
  </si>
  <si>
    <t>CM Label Y</t>
  </si>
  <si>
    <t>CM Label</t>
  </si>
  <si>
    <t>WM Label X</t>
  </si>
  <si>
    <t>WM Label Y</t>
  </si>
  <si>
    <t>WM Label</t>
  </si>
  <si>
    <t>CS + Ins. Label X</t>
  </si>
  <si>
    <t>CS + Ins. Label Y</t>
  </si>
  <si>
    <t>CS + Ins. Label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</si>
</sst>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40484A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2D5967"/>
      <name val="Calibri"/>
      <family val="2"/>
      <scheme val="minor"/>
    </font>
    <font>
      <sz val="14"/>
      <color rgb="FFF28C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9" fillId="4" borderId="0" xfId="0" applyFont="1" applyFill="1"/>
    <xf numFmtId="165" fontId="10" fillId="0" borderId="0" xfId="0" applyNumberFormat="1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61350000000000002"/>
          <c:y val="0.070000000000000007"/>
          <c:w val="0.88339999999999996"/>
          <c:h val="0.92000000000000004"/>
        </c:manualLayout>
      </c:layout>
      <c:barChart>
        <c:barDir val="col"/>
        <c:grouping val="stacked"/>
        <c:ser>
          <c:idx val="0"/>
          <c:order val="0"/>
          <c:tx>
            <c:strRef>
              <c:f>'Attributed Growth'!$S$4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rgbClr val="40484A"/>
            </a:solidFill>
            <a:ln>
              <a:solidFill>
                <a:srgbClr val="40484A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Growth'!$Y$5:$Y$10</c:f>
              <c:numCache>
                <c:formatCode>General</c:formatCode>
                <c:ptCount val="6"/>
                <c:pt idx="0">
                  <c:v>5.0</c:v>
                </c:pt>
                <c:pt idx="1">
                  <c:v>2.0</c:v>
                </c:pt>
                <c:pt idx="2">
                  <c:v>1.0</c:v>
                </c:pt>
                <c:pt idx="3">
                  <c:v>5.0</c:v>
                </c:pt>
                <c:pt idx="4">
                  <c:v>2.0</c:v>
                </c:pt>
                <c:pt idx="5">
                  <c:v>2.0</c:v>
                </c:pt>
              </c:numCache>
            </c:numRef>
          </c:val>
        </c:ser>
        <c:ser>
          <c:idx val="1"/>
          <c:order val="1"/>
          <c:tx>
            <c:strRef>
              <c:f>'Attributed Growth'!$T$4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001A52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Growth'!$Z$5:$Z$10</c:f>
              <c:numCache>
                <c:formatCode>General</c:formatCode>
                <c:ptCount val="6"/>
                <c:pt idx="0">
                  <c:v>1.0</c:v>
                </c:pt>
                <c:pt idx="1">
                  <c:v>1.0</c:v>
                </c:pt>
                <c:pt idx="2">
                  <c:v>0.1</c:v>
                </c:pt>
                <c:pt idx="3">
                  <c:v>1.0</c:v>
                </c:pt>
                <c:pt idx="4">
                  <c:v>1.0</c:v>
                </c:pt>
                <c:pt idx="5">
                  <c:v>2.0</c:v>
                </c:pt>
              </c:numCache>
            </c:numRef>
          </c:val>
        </c:ser>
        <c:ser>
          <c:idx val="2"/>
          <c:order val="2"/>
          <c:tx>
            <c:strRef>
              <c:f>'Attributed Growth'!$U$4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2D5967"/>
            </a:solidFill>
            <a:ln>
              <a:solidFill>
                <a:srgbClr val="2D5967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Growth'!$AA$5:$AA$10</c:f>
              <c:numCache>
                <c:formatCode>General</c:formatCode>
                <c:ptCount val="6"/>
                <c:pt idx="0">
                  <c:v>3.0</c:v>
                </c:pt>
                <c:pt idx="1">
                  <c:v>2.0</c:v>
                </c:pt>
                <c:pt idx="2">
                  <c:v>3.0</c:v>
                </c:pt>
                <c:pt idx="3">
                  <c:v>6.0</c:v>
                </c:pt>
                <c:pt idx="4">
                  <c:v>7.0</c:v>
                </c:pt>
                <c:pt idx="5">
                  <c:v>3.0</c:v>
                </c:pt>
              </c:numCache>
            </c:numRef>
          </c:val>
        </c:ser>
        <c:ser>
          <c:idx val="3"/>
          <c:order val="3"/>
          <c:tx>
            <c:strRef>
              <c:f>'Attributed Growth'!$V$4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rgbClr val="F28C00"/>
            </a:solidFill>
            <a:ln>
              <a:solidFill>
                <a:srgbClr val="F28C00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Growth'!$AB$5:$AB$10</c:f>
              <c:numCache>
                <c:formatCode>General</c:formatCode>
                <c:ptCount val="6"/>
                <c:pt idx="0">
                  <c:v>3.0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3.0</c:v>
                </c:pt>
              </c:numCache>
            </c:numRef>
          </c:val>
        </c:ser>
        <c:ser>
          <c:idx val="4"/>
          <c:order val="4"/>
          <c:tx>
            <c:strRef>
              <c:f>'Attributed Growth'!$W$4</c:f>
              <c:strCache>
                <c:ptCount val="1"/>
                <c:pt idx="0">
                  <c:v>CS + Ins.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</c:spPr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Growth'!$AC$5:$AC$10</c:f>
              <c:numCache>
                <c:formatCode>General</c:formatCode>
                <c:ptCount val="6"/>
                <c:pt idx="0">
                  <c:v>0.1</c:v>
                </c:pt>
                <c:pt idx="1">
                  <c:v>2.0</c:v>
                </c:pt>
                <c:pt idx="2">
                  <c:v>4.0</c:v>
                </c:pt>
                <c:pt idx="3">
                  <c:v>-1.0</c:v>
                </c:pt>
                <c:pt idx="4">
                  <c:v>3.0</c:v>
                </c:pt>
                <c:pt idx="5">
                  <c:v>2.0</c:v>
                </c:pt>
              </c:numCache>
            </c:numRef>
          </c:val>
        </c:ser>
        <c:gapWidth val="70"/>
        <c:overlap val="100"/>
        <c:axId val="50010001"/>
        <c:axId val="50010002"/>
      </c:barChart>
      <c:scatterChart>
        <c:scatterStyle val="lineMarker"/>
        <c:ser>
          <c:idx val="5"/>
          <c:order val="5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Growth'!$AH$5</c:f>
                  <c:strCache>
                    <c:ptCount val="1"/>
                    <c:pt idx="0">
                      <c:v>5%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Growth'!$AH$6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Growth'!$AH$7</c:f>
                  <c:strCache>
                    <c:ptCount val="1"/>
                    <c:pt idx="0">
                      <c:v>1%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Growth'!$AH$8</c:f>
                  <c:strCache>
                    <c:ptCount val="1"/>
                    <c:pt idx="0">
                      <c:v>5%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Growth'!$AH$9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Growth'!$AH$10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spPr>
              <a:solidFill>
                <a:srgbClr val="40484A"/>
              </a:solidFill>
              <a:ln>
                <a:solidFill>
                  <a:srgbClr val="40484A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Growth'!$AF$5:$AF$10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2.9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'Attributed Growth'!$AG$5:$AG$10</c:f>
              <c:numCache>
                <c:formatCode>General</c:formatCode>
                <c:ptCount val="6"/>
                <c:pt idx="0">
                  <c:v>2.5</c:v>
                </c:pt>
                <c:pt idx="1">
                  <c:v>1.0</c:v>
                </c:pt>
                <c:pt idx="2">
                  <c:v>0.5</c:v>
                </c:pt>
                <c:pt idx="3">
                  <c:v>2.5</c:v>
                </c:pt>
                <c:pt idx="4">
                  <c:v>1.0</c:v>
                </c:pt>
                <c:pt idx="5">
                  <c:v>1.0</c:v>
                </c:pt>
              </c:numCache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Growth'!$AK$5</c:f>
                  <c:strCache>
                    <c:ptCount val="1"/>
                    <c:pt idx="0">
                      <c:v>1%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Growth'!$AK$6</c:f>
                  <c:strCache>
                    <c:ptCount val="1"/>
                    <c:pt idx="0">
                      <c:v>1%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Growth'!$AK$7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Growth'!$AK$8</c:f>
                  <c:strCache>
                    <c:ptCount val="1"/>
                    <c:pt idx="0">
                      <c:v>1%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Growth'!$AK$9</c:f>
                  <c:strCache>
                    <c:ptCount val="1"/>
                    <c:pt idx="0">
                      <c:v>1%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Growth'!$AK$10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spPr>
              <a:solidFill>
                <a:srgbClr val="001A52"/>
              </a:solidFill>
              <a:ln>
                <a:solidFill>
                  <a:srgbClr val="001A52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Growth'!$AI$5:$AI$10</c:f>
              <c:numCache>
                <c:formatCode>General</c:formatCode>
                <c:ptCount val="6"/>
                <c:pt idx="0">
                  <c:v>1.1</c:v>
                </c:pt>
                <c:pt idx="1">
                  <c:v>2.1</c:v>
                </c:pt>
                <c:pt idx="2">
                  <c:v>3.1</c:v>
                </c:pt>
                <c:pt idx="3">
                  <c:v>4.1</c:v>
                </c:pt>
                <c:pt idx="4">
                  <c:v>5.1</c:v>
                </c:pt>
                <c:pt idx="5">
                  <c:v>6</c:v>
                </c:pt>
              </c:numCache>
            </c:numRef>
          </c:xVal>
          <c:yVal>
            <c:numRef>
              <c:f>'Attributed Growth'!$AJ$5:$AJ$10</c:f>
              <c:numCache>
                <c:formatCode>General</c:formatCode>
                <c:ptCount val="6"/>
                <c:pt idx="0">
                  <c:v>5.5</c:v>
                </c:pt>
                <c:pt idx="1">
                  <c:v>2.5</c:v>
                </c:pt>
                <c:pt idx="2">
                  <c:v>1.05</c:v>
                </c:pt>
                <c:pt idx="3">
                  <c:v>5.5</c:v>
                </c:pt>
                <c:pt idx="4">
                  <c:v>2.5</c:v>
                </c:pt>
                <c:pt idx="5">
                  <c:v>3.0</c:v>
                </c:pt>
              </c:numCache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Growth'!$AN$5</c:f>
                  <c:strCache>
                    <c:ptCount val="1"/>
                    <c:pt idx="0">
                      <c:v>3%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Growth'!$AN$6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Growth'!$AN$7</c:f>
                  <c:strCache>
                    <c:ptCount val="1"/>
                    <c:pt idx="0">
                      <c:v>3%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Growth'!$AN$8</c:f>
                  <c:strCache>
                    <c:ptCount val="1"/>
                    <c:pt idx="0">
                      <c:v>6%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Growth'!$AN$9</c:f>
                  <c:strCache>
                    <c:ptCount val="1"/>
                    <c:pt idx="0">
                      <c:v>7%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Growth'!$AN$10</c:f>
                  <c:strCache>
                    <c:ptCount val="1"/>
                    <c:pt idx="0">
                      <c:v>3%</c:v>
                    </c:pt>
                  </c:strCache>
                </c:strRef>
              </c:tx>
              <c:dLblPos val="ctr"/>
            </c:dLbl>
            <c:spPr>
              <a:solidFill>
                <a:srgbClr val="2D5967"/>
              </a:solidFill>
              <a:ln>
                <a:solidFill>
                  <a:srgbClr val="2D5967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Growth'!$AL$5:$AL$10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'Attributed Growth'!$AM$5:$AM$10</c:f>
              <c:numCache>
                <c:formatCode>General</c:formatCode>
                <c:ptCount val="6"/>
                <c:pt idx="0">
                  <c:v>7.5</c:v>
                </c:pt>
                <c:pt idx="1">
                  <c:v>4.0</c:v>
                </c:pt>
                <c:pt idx="2">
                  <c:v>2.6</c:v>
                </c:pt>
                <c:pt idx="3">
                  <c:v>9.0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</c:ser>
        <c:ser>
          <c:idx val="8"/>
          <c:order val="8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Growth'!$AQ$5</c:f>
                  <c:strCache>
                    <c:ptCount val="1"/>
                    <c:pt idx="0">
                      <c:v>3%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Growth'!$AQ$6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Growth'!$AQ$7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Growth'!$AQ$8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Growth'!$AQ$9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Growth'!$AQ$10</c:f>
                  <c:strCache>
                    <c:ptCount val="1"/>
                    <c:pt idx="0">
                      <c:v>3%</c:v>
                    </c:pt>
                  </c:strCache>
                </c:strRef>
              </c:tx>
              <c:dLblPos val="ctr"/>
            </c:dLbl>
            <c:spPr>
              <a:solidFill>
                <a:srgbClr val="F28C00"/>
              </a:solidFill>
              <a:ln>
                <a:solidFill>
                  <a:srgbClr val="F28C00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Growth'!$AO$5:$AO$10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'Attributed Growth'!$AP$5:$AP$10</c:f>
              <c:numCache>
                <c:formatCode>General</c:formatCode>
                <c:ptCount val="6"/>
                <c:pt idx="0">
                  <c:v>10.5</c:v>
                </c:pt>
                <c:pt idx="1">
                  <c:v>6.0</c:v>
                </c:pt>
                <c:pt idx="2">
                  <c:v>5.1</c:v>
                </c:pt>
                <c:pt idx="3">
                  <c:v>13.0</c:v>
                </c:pt>
                <c:pt idx="4">
                  <c:v>11.0</c:v>
                </c:pt>
                <c:pt idx="5">
                  <c:v>8.5</c:v>
                </c:pt>
              </c:numCache>
            </c:numRef>
          </c:yVal>
        </c:ser>
        <c:ser>
          <c:idx val="9"/>
          <c:order val="9"/>
          <c:spPr>
            <a:ln>
              <a:noFill/>
            </a:ln>
          </c:spPr>
          <c:marker>
            <c:symbol val="none"/>
          </c:marker>
          <c:dLbls>
            <c:dLbl>
              <c:idx val="0"/>
              <c:layout/>
              <c:tx>
                <c:strRef>
                  <c:f>'Attributed Growth'!$AT$5</c:f>
                  <c:strCache>
                    <c:ptCount val="1"/>
                    <c:pt idx="0">
                      <c:v>0%</c:v>
                    </c:pt>
                  </c:strCache>
                </c:strRef>
              </c:tx>
              <c:dLblPos val="ctr"/>
            </c:dLbl>
            <c:dLbl>
              <c:idx val="1"/>
              <c:layout/>
              <c:tx>
                <c:strRef>
                  <c:f>'Attributed Growth'!$AT$6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dLbl>
              <c:idx val="2"/>
              <c:layout/>
              <c:tx>
                <c:strRef>
                  <c:f>'Attributed Growth'!$AT$7</c:f>
                  <c:strCache>
                    <c:ptCount val="1"/>
                    <c:pt idx="0">
                      <c:v>4%</c:v>
                    </c:pt>
                  </c:strCache>
                </c:strRef>
              </c:tx>
              <c:dLblPos val="ctr"/>
            </c:dLbl>
            <c:dLbl>
              <c:idx val="3"/>
              <c:layout/>
              <c:tx>
                <c:strRef>
                  <c:f>'Attributed Growth'!$AT$8</c:f>
                  <c:strCache>
                    <c:ptCount val="1"/>
                    <c:pt idx="0">
                      <c:v>-1%</c:v>
                    </c:pt>
                  </c:strCache>
                </c:strRef>
              </c:tx>
              <c:dLblPos val="ctr"/>
            </c:dLbl>
            <c:dLbl>
              <c:idx val="4"/>
              <c:layout/>
              <c:tx>
                <c:strRef>
                  <c:f>'Attributed Growth'!$AT$9</c:f>
                  <c:strCache>
                    <c:ptCount val="1"/>
                    <c:pt idx="0">
                      <c:v>3%</c:v>
                    </c:pt>
                  </c:strCache>
                </c:strRef>
              </c:tx>
              <c:dLblPos val="ctr"/>
            </c:dLbl>
            <c:dLbl>
              <c:idx val="5"/>
              <c:layout/>
              <c:tx>
                <c:strRef>
                  <c:f>'Attributed Growth'!$AT$10</c:f>
                  <c:strCache>
                    <c:ptCount val="1"/>
                    <c:pt idx="0">
                      <c:v>2%</c:v>
                    </c:pt>
                  </c:strCache>
                </c:strRef>
              </c:tx>
              <c:dLblPos val="ctr"/>
            </c:dLbl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txPr>
              <a:bodyPr/>
              <a:lstStyle/>
              <a:p>
                <a:pPr>
                  <a:defRPr sz="1200"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</c:dLbls>
          <c:xVal>
            <c:numRef>
              <c:f>'Attributed Growth'!$AR$5:$AR$10</c:f>
              <c:numCache>
                <c:formatCode>General</c:formatCode>
                <c:ptCount val="6"/>
                <c:pt idx="0">
                  <c:v>0.92</c:v>
                </c:pt>
                <c:pt idx="1">
                  <c:v>2</c:v>
                </c:pt>
                <c:pt idx="2">
                  <c:v>3</c:v>
                </c:pt>
                <c:pt idx="3">
                  <c:v>3.92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'Attributed Growth'!$AS$5:$AS$10</c:f>
              <c:numCache>
                <c:formatCode>General</c:formatCode>
                <c:ptCount val="6"/>
                <c:pt idx="0">
                  <c:v>12.05</c:v>
                </c:pt>
                <c:pt idx="1">
                  <c:v>8.0</c:v>
                </c:pt>
                <c:pt idx="2">
                  <c:v>8.1</c:v>
                </c:pt>
                <c:pt idx="3">
                  <c:v>-0.5</c:v>
                </c:pt>
                <c:pt idx="4">
                  <c:v>13.5</c:v>
                </c:pt>
                <c:pt idx="5">
                  <c:v>11.0</c:v>
                </c:pt>
              </c:numCache>
            </c:numRef>
          </c:yVal>
        </c:ser>
        <c:axId val="60010001"/>
        <c:axId val="60010002"/>
      </c:scatte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5875">
            <a:solidFill>
              <a:srgbClr val="8C8C8C"/>
            </a:solidFill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.450000000000001"/>
          <c:min val="-1.5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valAx>
        <c:axId val="60010002"/>
        <c:scaling>
          <c:orientation val="minMax"/>
          <c:max val="15.450000000000001"/>
          <c:min val="-1.5"/>
        </c:scaling>
        <c:delete val="1"/>
        <c:axPos val="r"/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60010001"/>
        <c:crosses val="max"/>
        <c:crossBetween val="midCat"/>
        <c:majorUnit val="5"/>
      </c:valAx>
      <c:catAx>
        <c:axId val="60010001"/>
        <c:scaling>
          <c:orientation val="minMax"/>
        </c:scaling>
        <c:delete val="1"/>
        <c:axPos val="b"/>
        <c:tickLblPos val="none"/>
        <c:spPr>
          <a:ln>
            <a:noFill/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60010002"/>
        <c:crosses val="autoZero"/>
        <c:auto val="1"/>
        <c:lblAlgn val="ctr"/>
        <c:lblOffset val="100"/>
      </c:cat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15</xdr:col>
      <xdr:colOff>0</xdr:colOff>
      <xdr:row>28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ributedGrowthBySegmentSource" displayName="AttributedGrowthBySegmentSource" ref="P4:W10" totalsRowShown="0">
  <autoFilter ref="P4:W10"/>
  <tableColumns count="8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 + Ins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2" width="10" customWidth="1"/>
    <col min="23" max="24" width="12.140625" customWidth="1"/>
    <col min="25" max="29" width="0" hidden="1" customWidth="1"/>
    <col min="32" max="46" width="0" hidden="1" customWidth="1"/>
  </cols>
  <sheetData>
    <row r="1" spans="1:46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46" ht="18" customHeight="1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K2" s="7" t="s">
        <v>6</v>
      </c>
      <c r="L2" s="7"/>
      <c r="M2" s="7"/>
      <c r="N2" s="7"/>
    </row>
    <row r="3" spans="1:46" ht="7.5" customHeight="1"/>
    <row r="4" spans="1:46">
      <c r="C4" s="8">
        <f>IF(Q5="","",Q5)</f>
        <v>7.4</v>
      </c>
      <c r="E4" s="8">
        <f>IF(Q6="","",Q6)</f>
        <v>3.0</v>
      </c>
      <c r="G4" s="8">
        <f>IF(Q7="","",Q7)</f>
        <v>3.7</v>
      </c>
      <c r="I4" s="8">
        <f>IF(Q8="","",Q8)</f>
        <v>3.6</v>
      </c>
      <c r="K4" s="8">
        <f>IF(Q9="","",Q9)</f>
        <v>1.7</v>
      </c>
      <c r="M4" s="8">
        <f>IF(Q10="","",Q10)</f>
        <v>5.9</v>
      </c>
      <c r="P4" s="9" t="s">
        <v>7</v>
      </c>
      <c r="Q4" s="9" t="s">
        <v>8</v>
      </c>
      <c r="R4" s="9" t="s">
        <v>9</v>
      </c>
      <c r="S4" s="9" t="s">
        <v>10</v>
      </c>
      <c r="T4" s="9" t="s">
        <v>11</v>
      </c>
      <c r="U4" s="9" t="s">
        <v>12</v>
      </c>
      <c r="V4" s="9" t="s">
        <v>13</v>
      </c>
      <c r="W4" s="9" t="s">
        <v>14</v>
      </c>
      <c r="Y4" t="s">
        <v>21</v>
      </c>
      <c r="Z4" t="s">
        <v>22</v>
      </c>
      <c r="AA4" t="s">
        <v>23</v>
      </c>
      <c r="AB4" t="s">
        <v>24</v>
      </c>
      <c r="AC4" t="s">
        <v>25</v>
      </c>
      <c r="AF4" t="s">
        <v>26</v>
      </c>
      <c r="AG4" t="s">
        <v>27</v>
      </c>
      <c r="AH4" t="s">
        <v>28</v>
      </c>
      <c r="AI4" t="s">
        <v>29</v>
      </c>
      <c r="AJ4" t="s">
        <v>30</v>
      </c>
      <c r="AK4" t="s">
        <v>31</v>
      </c>
      <c r="AL4" t="s">
        <v>32</v>
      </c>
      <c r="AM4" t="s">
        <v>33</v>
      </c>
      <c r="AN4" t="s">
        <v>34</v>
      </c>
      <c r="AO4" t="s">
        <v>35</v>
      </c>
      <c r="AP4" t="s">
        <v>36</v>
      </c>
      <c r="AQ4" t="s">
        <v>37</v>
      </c>
      <c r="AR4" t="s">
        <v>38</v>
      </c>
      <c r="AS4" t="s">
        <v>39</v>
      </c>
      <c r="AT4" t="s">
        <v>40</v>
      </c>
    </row>
    <row r="5" spans="1:46">
      <c r="C5" s="10">
        <f>IF(R5="","",R5)</f>
        <v>12.0</v>
      </c>
      <c r="E5" s="10">
        <f>IF(R6="","",R6)</f>
        <v>9.0</v>
      </c>
      <c r="G5" s="10">
        <f>IF(R7="","",R7)</f>
        <v>11.0</v>
      </c>
      <c r="I5" s="10">
        <f>IF(R8="","",R8)</f>
        <v>13.0</v>
      </c>
      <c r="K5" s="10">
        <f>IF(R9="","",R9)</f>
        <v>15.0</v>
      </c>
      <c r="M5" s="10">
        <f>IF(R10="","",R10)</f>
        <v>12.0</v>
      </c>
      <c r="P5" s="11" t="s">
        <v>15</v>
      </c>
      <c r="Q5" s="12">
        <v>7.4</v>
      </c>
      <c r="R5" s="13">
        <v>12</v>
      </c>
      <c r="S5" s="13">
        <v>5</v>
      </c>
      <c r="T5" s="13">
        <v>1</v>
      </c>
      <c r="U5" s="13">
        <v>3</v>
      </c>
      <c r="V5" s="13">
        <v>3</v>
      </c>
      <c r="W5" s="13">
        <v>0</v>
      </c>
      <c r="Y5">
        <f>IF(S5="",NA(),IF(S5=0,0.1,S5))</f>
        <v>5.0</v>
      </c>
      <c r="Z5">
        <f>IF(T5="",NA(),IF(T5=0,0.1,T5))</f>
        <v>1.0</v>
      </c>
      <c r="AA5">
        <f>IF(U5="",NA(),IF(U5=0,0.1,U5))</f>
        <v>3.0</v>
      </c>
      <c r="AB5">
        <f>IF(V5="",NA(),IF(V5=0,0.1,V5))</f>
        <v>3.0</v>
      </c>
      <c r="AC5">
        <f>IF(W5="",NA(),IF(W5=0,0.1,W5))</f>
        <v>0.1</v>
      </c>
      <c r="AF5">
        <f>IF(S5="",NA(),1+IF(AND(ABS(S5)&lt;=1,S5&gt;=0),-0.1,0))</f>
        <v>1</v>
      </c>
      <c r="AG5">
        <f>IF(S5="",NA(),IF(Y5&gt;=0,0+Y5/2,0+Y5/2))</f>
        <v>2.5</v>
      </c>
      <c r="AH5" t="str">
        <f>IF(S5="","",ROUND(S5,0)&amp;"%")</f>
        <v>5%</v>
      </c>
      <c r="AI5">
        <f>IF(T5="",NA(),1+IF(AND(ABS(T5)&lt;=1,T5&gt;=0),0.1,0))</f>
        <v>1.1</v>
      </c>
      <c r="AJ5">
        <f>IF(T5="",NA(),IF(Z5&gt;=0,SUMIF(Y5:Y5,"&gt;0",Y5:Y5)+Z5/2,SUMIF(Y5:Y5,"&lt;0",Y5:Y5)+Z5/2))</f>
        <v>5.5</v>
      </c>
      <c r="AK5" t="str">
        <f>IF(T5="","",ROUND(T5,0)&amp;"%")</f>
        <v>1%</v>
      </c>
      <c r="AL5">
        <f>IF(U5="",NA(),1+IF(AND(ABS(U5)&lt;=1,U5&gt;=0),0,0))</f>
        <v>1</v>
      </c>
      <c r="AM5">
        <f>IF(U5="",NA(),IF(AA5&gt;=0,SUMIF(Y5:Z5,"&gt;0",Y5:Z5)+AA5/2,SUMIF(Y5:Z5,"&lt;0",Y5:Z5)+AA5/2))</f>
        <v>7.5</v>
      </c>
      <c r="AN5" t="str">
        <f>IF(U5="","",ROUND(U5,0)&amp;"%")</f>
        <v>3%</v>
      </c>
      <c r="AO5">
        <f>IF(V5="",NA(),1+IF(AND(ABS(V5)&lt;=1,V5&gt;=0),0.08,0))</f>
        <v>1</v>
      </c>
      <c r="AP5">
        <f>IF(V5="",NA(),IF(AB5&gt;=0,SUMIF(Y5:AA5,"&gt;0",Y5:AA5)+AB5/2,SUMIF(Y5:AA5,"&lt;0",Y5:AA5)+AB5/2))</f>
        <v>10.5</v>
      </c>
      <c r="AQ5" t="str">
        <f>IF(V5="","",ROUND(V5,0)&amp;"%")</f>
        <v>3%</v>
      </c>
      <c r="AR5">
        <f>IF(W5="",NA(),1+IF(AND(ABS(W5)&lt;=1,W5&gt;=0),-0.08,0))</f>
        <v>0.92</v>
      </c>
      <c r="AS5">
        <f>IF(W5="",NA(),IF(AC5&gt;=0,SUMIF(Y5:AB5,"&gt;0",Y5:AB5)+AC5/2,SUMIF(Y5:AB5,"&lt;0",Y5:AB5)+AC5/2))</f>
        <v>12.05</v>
      </c>
      <c r="AT5" t="str">
        <f>IF(W5="","",ROUND(W5,0)&amp;"%")</f>
        <v>0%</v>
      </c>
    </row>
    <row r="6" spans="1:46">
      <c r="P6" s="11" t="s">
        <v>16</v>
      </c>
      <c r="Q6" s="12">
        <v>3</v>
      </c>
      <c r="R6" s="13">
        <v>9</v>
      </c>
      <c r="S6" s="13">
        <v>2</v>
      </c>
      <c r="T6" s="13">
        <v>1</v>
      </c>
      <c r="U6" s="13">
        <v>2</v>
      </c>
      <c r="V6" s="13">
        <v>2</v>
      </c>
      <c r="W6" s="13">
        <v>2</v>
      </c>
      <c r="Y6">
        <f>IF(S6="",NA(),IF(S6=0,0.1,S6))</f>
        <v>2.0</v>
      </c>
      <c r="Z6">
        <f>IF(T6="",NA(),IF(T6=0,0.1,T6))</f>
        <v>1.0</v>
      </c>
      <c r="AA6">
        <f>IF(U6="",NA(),IF(U6=0,0.1,U6))</f>
        <v>2.0</v>
      </c>
      <c r="AB6">
        <f>IF(V6="",NA(),IF(V6=0,0.1,V6))</f>
        <v>2.0</v>
      </c>
      <c r="AC6">
        <f>IF(W6="",NA(),IF(W6=0,0.1,W6))</f>
        <v>2.0</v>
      </c>
      <c r="AF6">
        <f>IF(S6="",NA(),2+IF(AND(ABS(S6)&lt;=1,S6&gt;=0),-0.1,0))</f>
        <v>2</v>
      </c>
      <c r="AG6">
        <f>IF(S6="",NA(),IF(Y6&gt;=0,0+Y6/2,0+Y6/2))</f>
        <v>1.0</v>
      </c>
      <c r="AH6" t="str">
        <f>IF(S6="","",ROUND(S6,0)&amp;"%")</f>
        <v>2%</v>
      </c>
      <c r="AI6">
        <f>IF(T6="",NA(),2+IF(AND(ABS(T6)&lt;=1,T6&gt;=0),0.1,0))</f>
        <v>2.1</v>
      </c>
      <c r="AJ6">
        <f>IF(T6="",NA(),IF(Z6&gt;=0,SUMIF(Y6:Y6,"&gt;0",Y6:Y6)+Z6/2,SUMIF(Y6:Y6,"&lt;0",Y6:Y6)+Z6/2))</f>
        <v>2.5</v>
      </c>
      <c r="AK6" t="str">
        <f>IF(T6="","",ROUND(T6,0)&amp;"%")</f>
        <v>1%</v>
      </c>
      <c r="AL6">
        <f>IF(U6="",NA(),2+IF(AND(ABS(U6)&lt;=1,U6&gt;=0),0,0))</f>
        <v>2</v>
      </c>
      <c r="AM6">
        <f>IF(U6="",NA(),IF(AA6&gt;=0,SUMIF(Y6:Z6,"&gt;0",Y6:Z6)+AA6/2,SUMIF(Y6:Z6,"&lt;0",Y6:Z6)+AA6/2))</f>
        <v>4.0</v>
      </c>
      <c r="AN6" t="str">
        <f>IF(U6="","",ROUND(U6,0)&amp;"%")</f>
        <v>2%</v>
      </c>
      <c r="AO6">
        <f>IF(V6="",NA(),2+IF(AND(ABS(V6)&lt;=1,V6&gt;=0),0.08,0))</f>
        <v>2</v>
      </c>
      <c r="AP6">
        <f>IF(V6="",NA(),IF(AB6&gt;=0,SUMIF(Y6:AA6,"&gt;0",Y6:AA6)+AB6/2,SUMIF(Y6:AA6,"&lt;0",Y6:AA6)+AB6/2))</f>
        <v>6.0</v>
      </c>
      <c r="AQ6" t="str">
        <f>IF(V6="","",ROUND(V6,0)&amp;"%")</f>
        <v>2%</v>
      </c>
      <c r="AR6">
        <f>IF(W6="",NA(),2+IF(AND(ABS(W6)&lt;=1,W6&gt;=0),-0.08,0))</f>
        <v>2</v>
      </c>
      <c r="AS6">
        <f>IF(W6="",NA(),IF(AC6&gt;=0,SUMIF(Y6:AB6,"&gt;0",Y6:AB6)+AC6/2,SUMIF(Y6:AB6,"&lt;0",Y6:AB6)+AC6/2))</f>
        <v>8.0</v>
      </c>
      <c r="AT6" t="str">
        <f>IF(W6="","",ROUND(W6,0)&amp;"%")</f>
        <v>2%</v>
      </c>
    </row>
    <row r="7" spans="1:46">
      <c r="P7" s="11" t="s">
        <v>17</v>
      </c>
      <c r="Q7" s="12">
        <v>3.7</v>
      </c>
      <c r="R7" s="13">
        <v>11</v>
      </c>
      <c r="S7" s="13">
        <v>1</v>
      </c>
      <c r="T7" s="13">
        <v>0</v>
      </c>
      <c r="U7" s="13">
        <v>3</v>
      </c>
      <c r="V7" s="13">
        <v>2</v>
      </c>
      <c r="W7" s="13">
        <v>4</v>
      </c>
      <c r="Y7">
        <f>IF(S7="",NA(),IF(S7=0,0.1,S7))</f>
        <v>1.0</v>
      </c>
      <c r="Z7">
        <f>IF(T7="",NA(),IF(T7=0,0.1,T7))</f>
        <v>0.1</v>
      </c>
      <c r="AA7">
        <f>IF(U7="",NA(),IF(U7=0,0.1,U7))</f>
        <v>3.0</v>
      </c>
      <c r="AB7">
        <f>IF(V7="",NA(),IF(V7=0,0.1,V7))</f>
        <v>2.0</v>
      </c>
      <c r="AC7">
        <f>IF(W7="",NA(),IF(W7=0,0.1,W7))</f>
        <v>4.0</v>
      </c>
      <c r="AF7">
        <f>IF(S7="",NA(),3+IF(AND(ABS(S7)&lt;=1,S7&gt;=0),-0.1,0))</f>
        <v>2.9</v>
      </c>
      <c r="AG7">
        <f>IF(S7="",NA(),IF(Y7&gt;=0,0+Y7/2,0+Y7/2))</f>
        <v>0.5</v>
      </c>
      <c r="AH7" t="str">
        <f>IF(S7="","",ROUND(S7,0)&amp;"%")</f>
        <v>1%</v>
      </c>
      <c r="AI7">
        <f>IF(T7="",NA(),3+IF(AND(ABS(T7)&lt;=1,T7&gt;=0),0.1,0))</f>
        <v>3.1</v>
      </c>
      <c r="AJ7">
        <f>IF(T7="",NA(),IF(Z7&gt;=0,SUMIF(Y7:Y7,"&gt;0",Y7:Y7)+Z7/2,SUMIF(Y7:Y7,"&lt;0",Y7:Y7)+Z7/2))</f>
        <v>1.05</v>
      </c>
      <c r="AK7" t="str">
        <f>IF(T7="","",ROUND(T7,0)&amp;"%")</f>
        <v>0%</v>
      </c>
      <c r="AL7">
        <f>IF(U7="",NA(),3+IF(AND(ABS(U7)&lt;=1,U7&gt;=0),0,0))</f>
        <v>3</v>
      </c>
      <c r="AM7">
        <f>IF(U7="",NA(),IF(AA7&gt;=0,SUMIF(Y7:Z7,"&gt;0",Y7:Z7)+AA7/2,SUMIF(Y7:Z7,"&lt;0",Y7:Z7)+AA7/2))</f>
        <v>2.6</v>
      </c>
      <c r="AN7" t="str">
        <f>IF(U7="","",ROUND(U7,0)&amp;"%")</f>
        <v>3%</v>
      </c>
      <c r="AO7">
        <f>IF(V7="",NA(),3+IF(AND(ABS(V7)&lt;=1,V7&gt;=0),0.08,0))</f>
        <v>3</v>
      </c>
      <c r="AP7">
        <f>IF(V7="",NA(),IF(AB7&gt;=0,SUMIF(Y7:AA7,"&gt;0",Y7:AA7)+AB7/2,SUMIF(Y7:AA7,"&lt;0",Y7:AA7)+AB7/2))</f>
        <v>5.1</v>
      </c>
      <c r="AQ7" t="str">
        <f>IF(V7="","",ROUND(V7,0)&amp;"%")</f>
        <v>2%</v>
      </c>
      <c r="AR7">
        <f>IF(W7="",NA(),3+IF(AND(ABS(W7)&lt;=1,W7&gt;=0),-0.08,0))</f>
        <v>3</v>
      </c>
      <c r="AS7">
        <f>IF(W7="",NA(),IF(AC7&gt;=0,SUMIF(Y7:AB7,"&gt;0",Y7:AB7)+AC7/2,SUMIF(Y7:AB7,"&lt;0",Y7:AB7)+AC7/2))</f>
        <v>8.1</v>
      </c>
      <c r="AT7" t="str">
        <f>IF(W7="","",ROUND(W7,0)&amp;"%")</f>
        <v>4%</v>
      </c>
    </row>
    <row r="8" spans="1:46">
      <c r="P8" s="11" t="s">
        <v>18</v>
      </c>
      <c r="Q8" s="12">
        <v>3.6</v>
      </c>
      <c r="R8" s="13">
        <v>13</v>
      </c>
      <c r="S8" s="13">
        <v>5</v>
      </c>
      <c r="T8" s="13">
        <v>1</v>
      </c>
      <c r="U8" s="13">
        <v>6</v>
      </c>
      <c r="V8" s="13">
        <v>2</v>
      </c>
      <c r="W8" s="13">
        <v>-1</v>
      </c>
      <c r="Y8">
        <f>IF(S8="",NA(),IF(S8=0,0.1,S8))</f>
        <v>5.0</v>
      </c>
      <c r="Z8">
        <f>IF(T8="",NA(),IF(T8=0,0.1,T8))</f>
        <v>1.0</v>
      </c>
      <c r="AA8">
        <f>IF(U8="",NA(),IF(U8=0,0.1,U8))</f>
        <v>6.0</v>
      </c>
      <c r="AB8">
        <f>IF(V8="",NA(),IF(V8=0,0.1,V8))</f>
        <v>2.0</v>
      </c>
      <c r="AC8">
        <f>IF(W8="",NA(),IF(W8=0,0.1,W8))</f>
        <v>-1.0</v>
      </c>
      <c r="AF8">
        <f>IF(S8="",NA(),4+IF(AND(ABS(S8)&lt;=1,S8&gt;=0),-0.1,0))</f>
        <v>4</v>
      </c>
      <c r="AG8">
        <f>IF(S8="",NA(),IF(Y8&gt;=0,0+Y8/2,0+Y8/2))</f>
        <v>2.5</v>
      </c>
      <c r="AH8" t="str">
        <f>IF(S8="","",ROUND(S8,0)&amp;"%")</f>
        <v>5%</v>
      </c>
      <c r="AI8">
        <f>IF(T8="",NA(),4+IF(AND(ABS(T8)&lt;=1,T8&gt;=0),0.1,0))</f>
        <v>4.1</v>
      </c>
      <c r="AJ8">
        <f>IF(T8="",NA(),IF(Z8&gt;=0,SUMIF(Y8:Y8,"&gt;0",Y8:Y8)+Z8/2,SUMIF(Y8:Y8,"&lt;0",Y8:Y8)+Z8/2))</f>
        <v>5.5</v>
      </c>
      <c r="AK8" t="str">
        <f>IF(T8="","",ROUND(T8,0)&amp;"%")</f>
        <v>1%</v>
      </c>
      <c r="AL8">
        <f>IF(U8="",NA(),4+IF(AND(ABS(U8)&lt;=1,U8&gt;=0),0,0))</f>
        <v>4</v>
      </c>
      <c r="AM8">
        <f>IF(U8="",NA(),IF(AA8&gt;=0,SUMIF(Y8:Z8,"&gt;0",Y8:Z8)+AA8/2,SUMIF(Y8:Z8,"&lt;0",Y8:Z8)+AA8/2))</f>
        <v>9.0</v>
      </c>
      <c r="AN8" t="str">
        <f>IF(U8="","",ROUND(U8,0)&amp;"%")</f>
        <v>6%</v>
      </c>
      <c r="AO8">
        <f>IF(V8="",NA(),4+IF(AND(ABS(V8)&lt;=1,V8&gt;=0),0.08,0))</f>
        <v>4</v>
      </c>
      <c r="AP8">
        <f>IF(V8="",NA(),IF(AB8&gt;=0,SUMIF(Y8:AA8,"&gt;0",Y8:AA8)+AB8/2,SUMIF(Y8:AA8,"&lt;0",Y8:AA8)+AB8/2))</f>
        <v>13.0</v>
      </c>
      <c r="AQ8" t="str">
        <f>IF(V8="","",ROUND(V8,0)&amp;"%")</f>
        <v>2%</v>
      </c>
      <c r="AR8">
        <f>IF(W8="",NA(),4+IF(AND(ABS(W8)&lt;=1,W8&gt;=0),-0.08,0))</f>
        <v>3.92</v>
      </c>
      <c r="AS8">
        <f>IF(W8="",NA(),IF(AC8&gt;=0,SUMIF(Y8:AB8,"&gt;0",Y8:AB8)+AC8/2,SUMIF(Y8:AB8,"&lt;0",Y8:AB8)+AC8/2))</f>
        <v>-0.5</v>
      </c>
      <c r="AT8" t="str">
        <f>IF(W8="","",ROUND(W8,0)&amp;"%")</f>
        <v>-1%</v>
      </c>
    </row>
    <row r="9" spans="1:46">
      <c r="P9" s="11" t="s">
        <v>19</v>
      </c>
      <c r="Q9" s="12">
        <v>1.7</v>
      </c>
      <c r="R9" s="13">
        <v>15</v>
      </c>
      <c r="S9" s="13">
        <v>2</v>
      </c>
      <c r="T9" s="13">
        <v>1</v>
      </c>
      <c r="U9" s="13">
        <v>7</v>
      </c>
      <c r="V9" s="13">
        <v>2</v>
      </c>
      <c r="W9" s="13">
        <v>3</v>
      </c>
      <c r="Y9">
        <f>IF(S9="",NA(),IF(S9=0,0.1,S9))</f>
        <v>2.0</v>
      </c>
      <c r="Z9">
        <f>IF(T9="",NA(),IF(T9=0,0.1,T9))</f>
        <v>1.0</v>
      </c>
      <c r="AA9">
        <f>IF(U9="",NA(),IF(U9=0,0.1,U9))</f>
        <v>7.0</v>
      </c>
      <c r="AB9">
        <f>IF(V9="",NA(),IF(V9=0,0.1,V9))</f>
        <v>2.0</v>
      </c>
      <c r="AC9">
        <f>IF(W9="",NA(),IF(W9=0,0.1,W9))</f>
        <v>3.0</v>
      </c>
      <c r="AF9">
        <f>IF(S9="",NA(),5+IF(AND(ABS(S9)&lt;=1,S9&gt;=0),-0.1,0))</f>
        <v>5</v>
      </c>
      <c r="AG9">
        <f>IF(S9="",NA(),IF(Y9&gt;=0,0+Y9/2,0+Y9/2))</f>
        <v>1.0</v>
      </c>
      <c r="AH9" t="str">
        <f>IF(S9="","",ROUND(S9,0)&amp;"%")</f>
        <v>2%</v>
      </c>
      <c r="AI9">
        <f>IF(T9="",NA(),5+IF(AND(ABS(T9)&lt;=1,T9&gt;=0),0.1,0))</f>
        <v>5.1</v>
      </c>
      <c r="AJ9">
        <f>IF(T9="",NA(),IF(Z9&gt;=0,SUMIF(Y9:Y9,"&gt;0",Y9:Y9)+Z9/2,SUMIF(Y9:Y9,"&lt;0",Y9:Y9)+Z9/2))</f>
        <v>2.5</v>
      </c>
      <c r="AK9" t="str">
        <f>IF(T9="","",ROUND(T9,0)&amp;"%")</f>
        <v>1%</v>
      </c>
      <c r="AL9">
        <f>IF(U9="",NA(),5+IF(AND(ABS(U9)&lt;=1,U9&gt;=0),0,0))</f>
        <v>5</v>
      </c>
      <c r="AM9">
        <f>IF(U9="",NA(),IF(AA9&gt;=0,SUMIF(Y9:Z9,"&gt;0",Y9:Z9)+AA9/2,SUMIF(Y9:Z9,"&lt;0",Y9:Z9)+AA9/2))</f>
        <v>6.5</v>
      </c>
      <c r="AN9" t="str">
        <f>IF(U9="","",ROUND(U9,0)&amp;"%")</f>
        <v>7%</v>
      </c>
      <c r="AO9">
        <f>IF(V9="",NA(),5+IF(AND(ABS(V9)&lt;=1,V9&gt;=0),0.08,0))</f>
        <v>5</v>
      </c>
      <c r="AP9">
        <f>IF(V9="",NA(),IF(AB9&gt;=0,SUMIF(Y9:AA9,"&gt;0",Y9:AA9)+AB9/2,SUMIF(Y9:AA9,"&lt;0",Y9:AA9)+AB9/2))</f>
        <v>11.0</v>
      </c>
      <c r="AQ9" t="str">
        <f>IF(V9="","",ROUND(V9,0)&amp;"%")</f>
        <v>2%</v>
      </c>
      <c r="AR9">
        <f>IF(W9="",NA(),5+IF(AND(ABS(W9)&lt;=1,W9&gt;=0),-0.08,0))</f>
        <v>5</v>
      </c>
      <c r="AS9">
        <f>IF(W9="",NA(),IF(AC9&gt;=0,SUMIF(Y9:AB9,"&gt;0",Y9:AB9)+AC9/2,SUMIF(Y9:AB9,"&lt;0",Y9:AB9)+AC9/2))</f>
        <v>13.5</v>
      </c>
      <c r="AT9" t="str">
        <f>IF(W9="","",ROUND(W9,0)&amp;"%")</f>
        <v>3%</v>
      </c>
    </row>
    <row r="10" spans="1:46">
      <c r="P10" s="11" t="s">
        <v>20</v>
      </c>
      <c r="Q10" s="12">
        <v>5.9</v>
      </c>
      <c r="R10" s="13">
        <v>12</v>
      </c>
      <c r="S10" s="13">
        <v>2</v>
      </c>
      <c r="T10" s="13">
        <v>2</v>
      </c>
      <c r="U10" s="13">
        <v>3</v>
      </c>
      <c r="V10" s="13">
        <v>3</v>
      </c>
      <c r="W10" s="13">
        <v>2</v>
      </c>
      <c r="Y10">
        <f>IF(S10="",NA(),IF(S10=0,0.1,S10))</f>
        <v>2.0</v>
      </c>
      <c r="Z10">
        <f>IF(T10="",NA(),IF(T10=0,0.1,T10))</f>
        <v>2.0</v>
      </c>
      <c r="AA10">
        <f>IF(U10="",NA(),IF(U10=0,0.1,U10))</f>
        <v>3.0</v>
      </c>
      <c r="AB10">
        <f>IF(V10="",NA(),IF(V10=0,0.1,V10))</f>
        <v>3.0</v>
      </c>
      <c r="AC10">
        <f>IF(W10="",NA(),IF(W10=0,0.1,W10))</f>
        <v>2.0</v>
      </c>
      <c r="AF10">
        <f>IF(S10="",NA(),6+IF(AND(ABS(S10)&lt;=1,S10&gt;=0),-0.1,0))</f>
        <v>6</v>
      </c>
      <c r="AG10">
        <f>IF(S10="",NA(),IF(Y10&gt;=0,0+Y10/2,0+Y10/2))</f>
        <v>1.0</v>
      </c>
      <c r="AH10" t="str">
        <f>IF(S10="","",ROUND(S10,0)&amp;"%")</f>
        <v>2%</v>
      </c>
      <c r="AI10">
        <f>IF(T10="",NA(),6+IF(AND(ABS(T10)&lt;=1,T10&gt;=0),0.1,0))</f>
        <v>6</v>
      </c>
      <c r="AJ10">
        <f>IF(T10="",NA(),IF(Z10&gt;=0,SUMIF(Y10:Y10,"&gt;0",Y10:Y10)+Z10/2,SUMIF(Y10:Y10,"&lt;0",Y10:Y10)+Z10/2))</f>
        <v>3.0</v>
      </c>
      <c r="AK10" t="str">
        <f>IF(T10="","",ROUND(T10,0)&amp;"%")</f>
        <v>2%</v>
      </c>
      <c r="AL10">
        <f>IF(U10="",NA(),6+IF(AND(ABS(U10)&lt;=1,U10&gt;=0),0,0))</f>
        <v>6</v>
      </c>
      <c r="AM10">
        <f>IF(U10="",NA(),IF(AA10&gt;=0,SUMIF(Y10:Z10,"&gt;0",Y10:Z10)+AA10/2,SUMIF(Y10:Z10,"&lt;0",Y10:Z10)+AA10/2))</f>
        <v>5.5</v>
      </c>
      <c r="AN10" t="str">
        <f>IF(U10="","",ROUND(U10,0)&amp;"%")</f>
        <v>3%</v>
      </c>
      <c r="AO10">
        <f>IF(V10="",NA(),6+IF(AND(ABS(V10)&lt;=1,V10&gt;=0),0.08,0))</f>
        <v>6</v>
      </c>
      <c r="AP10">
        <f>IF(V10="",NA(),IF(AB10&gt;=0,SUMIF(Y10:AA10,"&gt;0",Y10:AA10)+AB10/2,SUMIF(Y10:AA10,"&lt;0",Y10:AA10)+AB10/2))</f>
        <v>8.5</v>
      </c>
      <c r="AQ10" t="str">
        <f>IF(V10="","",ROUND(V10,0)&amp;"%")</f>
        <v>3%</v>
      </c>
      <c r="AR10">
        <f>IF(W10="",NA(),6+IF(AND(ABS(W10)&lt;=1,W10&gt;=0),-0.08,0))</f>
        <v>6</v>
      </c>
      <c r="AS10">
        <f>IF(W10="",NA(),IF(AC10&gt;=0,SUMIF(Y10:AB10,"&gt;0",Y10:AB10)+AC10/2,SUMIF(Y10:AB10,"&lt;0",Y10:AB10)+AC10/2))</f>
        <v>11.0</v>
      </c>
      <c r="AT10" t="str">
        <f>IF(W10="","",ROUND(W10,0)&amp;"%")</f>
        <v>2%</v>
      </c>
    </row>
    <row r="11" spans="1:46"/>
    <row r="12" spans="1:46"/>
    <row r="13" spans="1:46"/>
    <row r="14" spans="1:46"/>
    <row r="15" spans="1:46"/>
    <row r="16" spans="1:4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:Y1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Attributed Growth</vt:lpstr>
      <vt:lpstr>'Attributed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2026-05-08T15:07:34Z</dcterms:created>
  <dcterms:modified xsi:type="dcterms:W3CDTF">2026-05-08T15:07:34Z</dcterms:modified>
</cp:coreProperties>
</file>